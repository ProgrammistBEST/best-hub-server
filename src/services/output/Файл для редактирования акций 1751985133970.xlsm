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prog\Desktop\Programs\ozon-action\assets\"/>
    </mc:Choice>
  </mc:AlternateContent>
  <xr:revisionPtr revIDLastSave="0" documentId="13_ncr:1_{F0A04749-74DC-476B-B92F-FEDA1F64F1E1}" xr6:coauthVersionLast="47" xr6:coauthVersionMax="47" xr10:uidLastSave="{00000000-0000-0000-0000-000000000000}"/>
  <bookViews>
    <workbookView xWindow="-120" yWindow="-120" windowWidth="29040" windowHeight="15840" xr2:uid="{00000000-000D-0000-FFFF-FFFF00000000}" activeTab="0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<sst xmlns="http://schemas.openxmlformats.org/spreadsheetml/2006/main">
  <si>
    <t>Артикул</t>
  </si>
  <si>
    <t>Новая цена</t>
  </si>
  <si>
    <t>Базовая скидка</t>
  </si>
  <si>
    <t>Текущая цена</t>
  </si>
  <si>
    <t>Динамика  цены для клиента</t>
  </si>
  <si>
    <t>Цена для участия в акции</t>
  </si>
  <si>
    <t>Номенклатура</t>
  </si>
  <si>
    <t>тек. Цена из файла</t>
  </si>
  <si>
    <t>тек. Скидка из файла</t>
  </si>
  <si>
    <t>Скидка для акции 1</t>
  </si>
  <si>
    <t>Скидка для акции 2</t>
  </si>
  <si>
    <t>Цена пред. нед</t>
  </si>
  <si>
    <t>Процент расходов</t>
  </si>
  <si>
    <t xml:space="preserve">Тек. расх. </t>
  </si>
  <si>
    <t xml:space="preserve">Расх. 20%</t>
  </si>
  <si>
    <t xml:space="preserve">072-1 (36)</t>
  </si>
  <si>
    <t xml:space="preserve"/>
  </si>
  <si>
    <t xml:space="preserve">072-1 (37)</t>
  </si>
  <si>
    <t xml:space="preserve">072-1 (38)</t>
  </si>
  <si>
    <t xml:space="preserve">072-1 (39)</t>
  </si>
  <si>
    <t xml:space="preserve">072-1 (40)</t>
  </si>
  <si>
    <t xml:space="preserve">072-1 (41)</t>
  </si>
  <si>
    <t xml:space="preserve">073-1 (36)</t>
  </si>
  <si>
    <t xml:space="preserve">073-1 (37)</t>
  </si>
  <si>
    <t xml:space="preserve">073-1 (38)</t>
  </si>
  <si>
    <t xml:space="preserve">073-1 (39)</t>
  </si>
  <si>
    <t xml:space="preserve">073-1 (40)</t>
  </si>
  <si>
    <t xml:space="preserve">073-1 (41)</t>
  </si>
  <si>
    <t xml:space="preserve">073-2 (41)</t>
  </si>
  <si>
    <t xml:space="preserve">073-2 (40)</t>
  </si>
  <si>
    <t xml:space="preserve">073-2(39)</t>
  </si>
  <si>
    <t xml:space="preserve">073-2 (38)</t>
  </si>
  <si>
    <t xml:space="preserve">073-2(37)</t>
  </si>
  <si>
    <t xml:space="preserve">073-2(36)</t>
  </si>
  <si>
    <t xml:space="preserve">073-7 (36)</t>
  </si>
  <si>
    <t xml:space="preserve">073-7 (37)</t>
  </si>
  <si>
    <t xml:space="preserve">073-7 (38)</t>
  </si>
  <si>
    <t xml:space="preserve">073-7 (39)</t>
  </si>
  <si>
    <t xml:space="preserve">073-7 (40)</t>
  </si>
  <si>
    <t xml:space="preserve">073-7 (41)</t>
  </si>
  <si>
    <t xml:space="preserve">073 (41)</t>
  </si>
  <si>
    <t xml:space="preserve">073 (40)</t>
  </si>
  <si>
    <t xml:space="preserve">073 (39)</t>
  </si>
  <si>
    <t xml:space="preserve">073 (38)</t>
  </si>
  <si>
    <t xml:space="preserve">073 (37)</t>
  </si>
  <si>
    <t xml:space="preserve">073 (36)</t>
  </si>
  <si>
    <t xml:space="preserve">072-2 (36)</t>
  </si>
  <si>
    <t xml:space="preserve">072-2(37)</t>
  </si>
  <si>
    <t xml:space="preserve">072-2(38)</t>
  </si>
  <si>
    <t xml:space="preserve">072-2 (39)</t>
  </si>
  <si>
    <t xml:space="preserve">072-2(40)</t>
  </si>
  <si>
    <t xml:space="preserve">072-2(41)</t>
  </si>
  <si>
    <t xml:space="preserve">072-7 (41)</t>
  </si>
  <si>
    <t xml:space="preserve">072-7 (40)</t>
  </si>
  <si>
    <t xml:space="preserve">072-7 (39)</t>
  </si>
  <si>
    <t xml:space="preserve">072-7 (38)</t>
  </si>
  <si>
    <t xml:space="preserve">072-7 (37)</t>
  </si>
  <si>
    <t xml:space="preserve">072-7 (36)</t>
  </si>
  <si>
    <t xml:space="preserve">072 (36)</t>
  </si>
  <si>
    <t xml:space="preserve">072 (37)</t>
  </si>
  <si>
    <t xml:space="preserve">072 (38)</t>
  </si>
  <si>
    <t xml:space="preserve">072 (39)</t>
  </si>
  <si>
    <t xml:space="preserve">072 (40)</t>
  </si>
  <si>
    <t xml:space="preserve">072 (41)</t>
  </si>
  <si>
    <t xml:space="preserve">075 (36)</t>
  </si>
  <si>
    <t xml:space="preserve">075 (37)</t>
  </si>
  <si>
    <t xml:space="preserve">075-1(36)</t>
  </si>
  <si>
    <t xml:space="preserve">075 (38)</t>
  </si>
  <si>
    <t xml:space="preserve">075-1(37)</t>
  </si>
  <si>
    <t xml:space="preserve">075-1(38)</t>
  </si>
  <si>
    <t xml:space="preserve">075-1(39)</t>
  </si>
  <si>
    <t xml:space="preserve">075-1(40)</t>
  </si>
  <si>
    <t xml:space="preserve">075-1(41)</t>
  </si>
  <si>
    <t xml:space="preserve">075 (39)</t>
  </si>
  <si>
    <t xml:space="preserve">075 (40)</t>
  </si>
  <si>
    <t xml:space="preserve">075 (41)</t>
  </si>
  <si>
    <t xml:space="preserve">075-2 (41)</t>
  </si>
  <si>
    <t xml:space="preserve">075-2 (40)</t>
  </si>
  <si>
    <t xml:space="preserve">075-2 (39)</t>
  </si>
  <si>
    <t xml:space="preserve">075-2 (38)</t>
  </si>
  <si>
    <t xml:space="preserve">075-2 (37)</t>
  </si>
  <si>
    <t xml:space="preserve">075-2 (36)</t>
  </si>
  <si>
    <t xml:space="preserve">075-7 (36)</t>
  </si>
  <si>
    <t xml:space="preserve">075-7 (37)</t>
  </si>
  <si>
    <t xml:space="preserve">075-7 (38)</t>
  </si>
  <si>
    <t xml:space="preserve">075-7 (39)</t>
  </si>
  <si>
    <t xml:space="preserve">075-7 (40)</t>
  </si>
  <si>
    <t xml:space="preserve">075-7 (41)</t>
  </si>
  <si>
    <t xml:space="preserve">090-1(36)</t>
  </si>
  <si>
    <t xml:space="preserve">090-1(37)</t>
  </si>
  <si>
    <t xml:space="preserve">090-1(38)</t>
  </si>
  <si>
    <t xml:space="preserve">090-1(39)</t>
  </si>
  <si>
    <t xml:space="preserve">090-1(40)</t>
  </si>
  <si>
    <t xml:space="preserve">090-1(41)</t>
  </si>
  <si>
    <t xml:space="preserve">090-2(36)</t>
  </si>
  <si>
    <t xml:space="preserve">090-2(37)</t>
  </si>
  <si>
    <t xml:space="preserve">090-2(38)</t>
  </si>
  <si>
    <t xml:space="preserve">090-2(39)</t>
  </si>
  <si>
    <t xml:space="preserve">090-2(40)</t>
  </si>
  <si>
    <t xml:space="preserve">090-2(41)</t>
  </si>
  <si>
    <t xml:space="preserve">090-7(36)</t>
  </si>
  <si>
    <t xml:space="preserve">090-7(37)</t>
  </si>
  <si>
    <t xml:space="preserve">090-7(38)</t>
  </si>
  <si>
    <t xml:space="preserve">090-7(39)</t>
  </si>
  <si>
    <t xml:space="preserve">090-7(40)</t>
  </si>
  <si>
    <t xml:space="preserve">090-7(41)</t>
  </si>
  <si>
    <t xml:space="preserve">065(40)</t>
  </si>
  <si>
    <t xml:space="preserve">065(41)</t>
  </si>
  <si>
    <t xml:space="preserve">065(42)</t>
  </si>
  <si>
    <t xml:space="preserve">065(43)</t>
  </si>
  <si>
    <t xml:space="preserve">065(44)</t>
  </si>
  <si>
    <t xml:space="preserve">065(45)</t>
  </si>
  <si>
    <t xml:space="preserve">065-3(40)</t>
  </si>
  <si>
    <t xml:space="preserve">065-3(41)</t>
  </si>
  <si>
    <t xml:space="preserve">065-3(42)</t>
  </si>
  <si>
    <t xml:space="preserve">065-3(43)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</si>
</sst>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>
    <numFmt numFmtId="6" formatCode="#,##0\ &quot;₽&quot;;[Red]\-#,##0\ &quot;₽&quot;"/>
  </numFmts>
  <fonts x14ac:knownFonts="1">
    <font>
      <sz val="11"/>
      <color theme="1"/>
      <name val="Calibri"/>
      <family val="2"/>
      <scheme val="minor"/>
    </font>
    <font>
      <sz val="11"/>
      <color theme="1"/>
      <name val="Wingdings 2"/>
      <family val="1"/>
      <charset val="2"/>
    </font>
    <font>
      <sz val="11"/>
      <color rgb="FFFF0000"/>
      <name val="Calibri"/>
      <family val="2"/>
      <scheme val="minor"/>
    </font>
  </fonts>
  <fills>
    <fill>
      <patternFill patternType="none"/>
    </fill>
    <fill>
      <patternFill patternType="gray125"/>
    </fill>
  </fills>
  <borders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>
    <xf numFmtId="0" fontId="0" fillId="0" borderId="0" xfId="0"/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6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 wrapText="1"/>
    </xf>
  </cellXfs>
  <cellStyles count="1">
    <cellStyle name="Обычный" xfId="0" builtinId="0"/>
  </cellStyles>
  <dxfs count="2">
    <dxf>
      <fill>
        <patternFill>
          <bgColor theme="7" tint="0.59996337778862885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sheetViews>
    <sheetView showGridLines="0" tabSelected="1" workbookViewId="0">
      <pane ySplit="1" topLeftCell="A2" activePane="bottomLeft" state="frozen"/>
      <selection pane="bottomLeft" activeCell="H1" sqref="H1"/>
    </sheetView>
  </sheetViews>
  <sheetFormatPr defaultRowHeight="15" x14ac:dyDescent="0.25"/>
  <cols>
    <col min="1" max="1" width="22.140625" style="6" customWidth="1"/>
    <col min="2" max="2" width="15.28515625" style="6" bestFit="1" customWidth="1"/>
    <col min="3" max="3" width="4" style="8" customWidth="1"/>
    <col min="4" max="4" width="6.7109375" style="9" customWidth="1"/>
    <col min="5" max="5" width="8.7109375" style="7" bestFit="1" customWidth="1"/>
    <col min="6" max="6" width="11.28515625" style="7" customWidth="1"/>
    <col min="7" max="7" width="9.7109375" style="7" bestFit="1" customWidth="1"/>
    <col min="8" max="8" width="16.140625" style="7" bestFit="1" customWidth="1"/>
    <col min="9" max="9" width="10.85546875" customWidth="1"/>
    <col min="11" max="11" width="9.140625" hidden="1" customWidth="1"/>
    <col min="12" max="12" width="10" hidden="1" customWidth="1"/>
    <col min="13" max="13" width="11.5703125" hidden="1" customWidth="1"/>
    <col min="14" max="14" width="10.85546875" hidden="1" customWidth="1"/>
    <col min="15" max="15" width="11.42578125" hidden="1" customWidth="1"/>
    <col min="16" max="16" width="9.140625" hidden="1" customWidth="1"/>
    <col min="17" max="17" width="10.85546875" hidden="1" customWidth="1"/>
    <col min="18" max="18" width="9.140625" hidden="1" customWidth="1"/>
    <col min="20" max="20" width="6.85546875" bestFit="1" customWidth="1"/>
    <col min="21" max="21" width="10.28515625" bestFit="1" customWidth="1"/>
    <col min="22" max="22" width="12.140625" bestFit="1" customWidth="1"/>
    <col min="23" max="23" width="18.140625" bestFit="1" customWidth="1"/>
    <col min="24" max="24" width="18.7109375" bestFit="1" customWidth="1"/>
    <col min="25" max="25" width="11.7109375" bestFit="1" customWidth="1"/>
    <col min="26" max="26" width="17.7109375" bestFit="1" customWidth="1"/>
    <col min="27" max="27" width="17.85546875" bestFit="1" customWidth="1"/>
    <col min="28" max="28" width="13.85546875" bestFit="1" customWidth="1"/>
    <col min="29" max="29" width="11.28515625" bestFit="1" customWidth="1"/>
    <col min="30" max="30" width="15.7109375" bestFit="1" customWidth="1"/>
    <col min="31" max="31" width="13.28515625" bestFit="1" customWidth="1"/>
  </cols>
  <sheetData>
    <row r="1" spans="1:18" s="4" customFormat="1" ht="30" customHeight="1" x14ac:dyDescent="0.25">
      <c r="A1" t="s" s="1">
        <v>0</v>
      </c>
      <c r="B1" t="s" s="2">
        <v>5</v>
      </c>
      <c r="C1" t="s" s="10">
        <v>14</v>
      </c>
      <c r="D1" s="10"/>
      <c r="E1" t="s" s="2">
        <v>3</v>
      </c>
      <c r="F1" t="s" s="2">
        <v>1</v>
      </c>
      <c r="G1" t="s" s="3">
        <v>13</v>
      </c>
      <c r="H1" t="s" s="2">
        <v>4</v>
      </c>
      <c r="K1" t="s" s="4">
        <v>6</v>
      </c>
      <c r="L1" t="s" s="5">
        <v>7</v>
      </c>
      <c r="M1" t="s" s="5">
        <v>8</v>
      </c>
      <c r="N1" t="s" s="5">
        <v>9</v>
      </c>
      <c r="O1" t="s" s="5">
        <v>10</v>
      </c>
      <c r="P1" t="s" s="4">
        <v>2</v>
      </c>
      <c r="Q1" t="s" s="4">
        <v>11</v>
      </c>
      <c r="R1" t="s" s="4">
        <v>12</v>
      </c>
    </row>
    <row r="2">
      <c r="A2" t="s" s="6">
        <v>15</v>
      </c>
      <c r="B2" s="6">
        <v>744</v>
      </c>
      <c r="C2" t="s" s="8">
        <v>16</v>
      </c>
      <c r="D2" s="9">
        <f>(B2*0.8-290-100)</f>
      </c>
      <c r="E2" s="7">
        <v>986</v>
      </c>
      <c r="G2" s="7">
        <f>IF(F2="", (E2*0.49-320-100), (F2*0.49-320-100))</f>
      </c>
    </row>
    <row r="3">
      <c r="A3" t="s" s="6">
        <v>17</v>
      </c>
      <c r="B3" s="6">
        <v>744</v>
      </c>
      <c r="C3" t="s" s="8">
        <v>16</v>
      </c>
      <c r="D3" s="9">
        <f>(B3*0.8-290-100)</f>
      </c>
      <c r="E3" s="7">
        <v>986</v>
      </c>
      <c r="G3" s="7">
        <f>IF(F3="", (E3*0.49-320-100), (F3*0.49-320-100))</f>
      </c>
    </row>
    <row r="4">
      <c r="A4" t="s" s="6">
        <v>18</v>
      </c>
      <c r="B4" s="6">
        <v>744</v>
      </c>
      <c r="C4" t="s" s="8">
        <v>16</v>
      </c>
      <c r="D4" s="9">
        <f>(B4*0.8-290-100)</f>
      </c>
      <c r="E4" s="7">
        <v>986</v>
      </c>
      <c r="G4" s="7">
        <f>IF(F4="", (E4*0.49-320-100), (F4*0.49-320-100))</f>
      </c>
    </row>
    <row r="5">
      <c r="A5" t="s" s="6">
        <v>19</v>
      </c>
      <c r="B5" s="6">
        <v>744</v>
      </c>
      <c r="C5" t="s" s="8">
        <v>16</v>
      </c>
      <c r="D5" s="9">
        <f>(B5*0.8-290-100)</f>
      </c>
      <c r="E5" s="7">
        <v>986</v>
      </c>
      <c r="G5" s="7">
        <f>IF(F5="", (E5*0.49-320-100), (F5*0.49-320-100))</f>
      </c>
    </row>
    <row r="6">
      <c r="A6" t="s" s="6">
        <v>20</v>
      </c>
      <c r="B6" s="6">
        <v>744</v>
      </c>
      <c r="C6" t="s" s="8">
        <v>16</v>
      </c>
      <c r="D6" s="9">
        <f>(B6*0.8-290-100)</f>
      </c>
      <c r="E6" s="7">
        <v>986</v>
      </c>
      <c r="G6" s="7">
        <f>IF(F6="", (E6*0.49-320-100), (F6*0.49-320-100))</f>
      </c>
    </row>
    <row r="7">
      <c r="A7" t="s" s="6">
        <v>21</v>
      </c>
      <c r="B7" s="6">
        <v>744</v>
      </c>
      <c r="C7" t="s" s="8">
        <v>16</v>
      </c>
      <c r="D7" s="9">
        <f>(B7*0.8-290-100)</f>
      </c>
      <c r="E7" s="7">
        <v>986</v>
      </c>
      <c r="G7" s="7">
        <f>IF(F7="", (E7*0.49-320-100), (F7*0.49-320-100))</f>
      </c>
    </row>
    <row r="8">
      <c r="A8" t="s" s="6">
        <v>22</v>
      </c>
      <c r="B8" s="6">
        <v>844</v>
      </c>
      <c r="C8" t="s" s="8">
        <v>16</v>
      </c>
      <c r="D8" s="9">
        <f>(B8*0.8-330-100)</f>
      </c>
      <c r="E8" s="7">
        <v>875</v>
      </c>
      <c r="G8" s="7">
        <f>IF(F8="", (E8*0.49-320-100), (F8*0.49-320-100))</f>
      </c>
    </row>
    <row r="9">
      <c r="A9" t="s" s="6">
        <v>23</v>
      </c>
      <c r="B9" s="6">
        <v>844</v>
      </c>
      <c r="C9" t="s" s="8">
        <v>16</v>
      </c>
      <c r="D9" s="9">
        <f>(B9*0.8-330-100)</f>
      </c>
      <c r="E9" s="7">
        <v>1029</v>
      </c>
      <c r="G9" s="7">
        <f>IF(F9="", (E9*0.49-320-100), (F9*0.49-320-100))</f>
      </c>
    </row>
    <row r="10">
      <c r="A10" t="s" s="6">
        <v>24</v>
      </c>
      <c r="B10" s="6">
        <v>844</v>
      </c>
      <c r="C10" t="s" s="8">
        <v>16</v>
      </c>
      <c r="D10" s="9">
        <f>(B10*0.8-330-100)</f>
      </c>
      <c r="E10" s="7">
        <v>1029</v>
      </c>
      <c r="G10" s="7">
        <f>IF(F10="", (E10*0.49-320-100), (F10*0.49-320-100))</f>
      </c>
    </row>
    <row r="11">
      <c r="A11" t="s" s="6">
        <v>25</v>
      </c>
      <c r="B11" s="6">
        <v>844</v>
      </c>
      <c r="C11" t="s" s="8">
        <v>16</v>
      </c>
      <c r="D11" s="9">
        <f>(B11*0.8-330-100)</f>
      </c>
      <c r="E11" s="7">
        <v>1029</v>
      </c>
      <c r="G11" s="7">
        <f>IF(F11="", (E11*0.49-320-100), (F11*0.49-320-100))</f>
      </c>
    </row>
    <row r="12">
      <c r="A12" t="s" s="6">
        <v>26</v>
      </c>
      <c r="B12" s="6">
        <v>844</v>
      </c>
      <c r="C12" t="s" s="8">
        <v>16</v>
      </c>
      <c r="D12" s="9">
        <f>(B12*0.8-330-100)</f>
      </c>
      <c r="E12" s="7">
        <v>1029</v>
      </c>
      <c r="G12" s="7">
        <f>IF(F12="", (E12*0.49-320-100), (F12*0.49-320-100))</f>
      </c>
    </row>
    <row r="13">
      <c r="A13" t="s" s="6">
        <v>27</v>
      </c>
      <c r="B13" s="6">
        <v>844</v>
      </c>
      <c r="C13" t="s" s="8">
        <v>16</v>
      </c>
      <c r="D13" s="9">
        <f>(B13*0.8-330-100)</f>
      </c>
      <c r="E13" s="7">
        <v>1029</v>
      </c>
      <c r="G13" s="7">
        <f>IF(F13="", (E13*0.49-320-100), (F13*0.49-320-100))</f>
      </c>
    </row>
    <row r="14">
      <c r="A14" t="s" s="6">
        <v>28</v>
      </c>
      <c r="B14" s="6">
        <v>844</v>
      </c>
      <c r="C14" t="s" s="8">
        <v>16</v>
      </c>
      <c r="D14" s="9">
        <f>(B14*0.8-330-100)</f>
      </c>
      <c r="E14" s="7">
        <v>1029</v>
      </c>
      <c r="G14" s="7">
        <f>IF(F14="", (E14*0.49-320-100), (F14*0.49-320-100))</f>
      </c>
    </row>
    <row r="15">
      <c r="A15" t="s" s="6">
        <v>29</v>
      </c>
      <c r="B15" s="6">
        <v>844</v>
      </c>
      <c r="C15" t="s" s="8">
        <v>16</v>
      </c>
      <c r="D15" s="9">
        <f>(B15*0.8-330-100)</f>
      </c>
      <c r="E15" s="7">
        <v>1029</v>
      </c>
      <c r="G15" s="7">
        <f>IF(F15="", (E15*0.49-320-100), (F15*0.49-320-100))</f>
      </c>
    </row>
    <row r="16">
      <c r="A16" t="s" s="6">
        <v>30</v>
      </c>
      <c r="B16" s="6">
        <v>844</v>
      </c>
      <c r="C16" t="s" s="8">
        <v>16</v>
      </c>
      <c r="D16" s="9">
        <f>(B16*0.8-330-100)</f>
      </c>
      <c r="E16" s="7">
        <v>1029</v>
      </c>
      <c r="G16" s="7">
        <f>IF(F16="", (E16*0.49-320-100), (F16*0.49-320-100))</f>
      </c>
    </row>
    <row r="17">
      <c r="A17" t="s" s="6">
        <v>31</v>
      </c>
      <c r="B17" s="6">
        <v>844</v>
      </c>
      <c r="C17" t="s" s="8">
        <v>16</v>
      </c>
      <c r="D17" s="9">
        <f>(B17*0.8-330-100)</f>
      </c>
      <c r="E17" s="7">
        <v>1029</v>
      </c>
      <c r="G17" s="7">
        <f>IF(F17="", (E17*0.49-320-100), (F17*0.49-320-100))</f>
      </c>
    </row>
    <row r="18">
      <c r="A18" t="s" s="6">
        <v>32</v>
      </c>
      <c r="B18" s="6">
        <v>844</v>
      </c>
      <c r="C18" t="s" s="8">
        <v>16</v>
      </c>
      <c r="D18" s="9">
        <f>(B18*0.8-330-100)</f>
      </c>
      <c r="E18" s="7">
        <v>1029</v>
      </c>
      <c r="G18" s="7">
        <f>IF(F18="", (E18*0.49-320-100), (F18*0.49-320-100))</f>
      </c>
    </row>
    <row r="19">
      <c r="A19" t="s" s="6">
        <v>33</v>
      </c>
      <c r="B19" s="6">
        <v>844</v>
      </c>
      <c r="C19" t="s" s="8">
        <v>16</v>
      </c>
      <c r="D19" s="9">
        <f>(B19*0.8-330-100)</f>
      </c>
      <c r="E19" s="7">
        <v>1029</v>
      </c>
      <c r="G19" s="7">
        <f>IF(F19="", (E19*0.49-320-100), (F19*0.49-320-100))</f>
      </c>
    </row>
    <row r="20">
      <c r="A20" t="s" s="6">
        <v>34</v>
      </c>
      <c r="B20" s="6">
        <v>844</v>
      </c>
      <c r="C20" t="s" s="8">
        <v>16</v>
      </c>
      <c r="D20" s="9">
        <f>(B20*0.8-330-100)</f>
      </c>
      <c r="E20" s="7">
        <v>1029</v>
      </c>
      <c r="G20" s="7">
        <f>IF(F20="", (E20*0.49-320-100), (F20*0.49-320-100))</f>
      </c>
    </row>
    <row r="21">
      <c r="A21" t="s" s="6">
        <v>35</v>
      </c>
      <c r="B21" s="6">
        <v>844</v>
      </c>
      <c r="C21" t="s" s="8">
        <v>16</v>
      </c>
      <c r="D21" s="9">
        <f>(B21*0.8-330-100)</f>
      </c>
      <c r="E21" s="7">
        <v>1029</v>
      </c>
      <c r="G21" s="7">
        <f>IF(F21="", (E21*0.49-320-100), (F21*0.49-320-100))</f>
      </c>
    </row>
    <row r="22">
      <c r="A22" t="s" s="6">
        <v>36</v>
      </c>
      <c r="B22" s="6">
        <v>844</v>
      </c>
      <c r="C22" t="s" s="8">
        <v>16</v>
      </c>
      <c r="D22" s="9">
        <f>(B22*0.8-330-100)</f>
      </c>
      <c r="E22" s="7">
        <v>1029</v>
      </c>
      <c r="G22" s="7">
        <f>IF(F22="", (E22*0.49-320-100), (F22*0.49-320-100))</f>
      </c>
    </row>
    <row r="23">
      <c r="A23" t="s" s="6">
        <v>37</v>
      </c>
      <c r="B23" s="6">
        <v>844</v>
      </c>
      <c r="C23" t="s" s="8">
        <v>16</v>
      </c>
      <c r="D23" s="9">
        <f>(B23*0.8-330-100)</f>
      </c>
      <c r="E23" s="7">
        <v>1029</v>
      </c>
      <c r="G23" s="7">
        <f>IF(F23="", (E23*0.49-320-100), (F23*0.49-320-100))</f>
      </c>
    </row>
    <row r="24">
      <c r="A24" t="s" s="6">
        <v>38</v>
      </c>
      <c r="B24" s="6">
        <v>844</v>
      </c>
      <c r="C24" t="s" s="8">
        <v>16</v>
      </c>
      <c r="D24" s="9">
        <f>(B24*0.8-330-100)</f>
      </c>
      <c r="E24" s="7">
        <v>1029</v>
      </c>
      <c r="G24" s="7">
        <f>IF(F24="", (E24*0.49-320-100), (F24*0.49-320-100))</f>
      </c>
    </row>
    <row r="25">
      <c r="A25" t="s" s="6">
        <v>39</v>
      </c>
      <c r="B25" s="6">
        <v>844</v>
      </c>
      <c r="C25" t="s" s="8">
        <v>16</v>
      </c>
      <c r="D25" s="9">
        <f>(B25*0.8-330-100)</f>
      </c>
      <c r="E25" s="7">
        <v>1029</v>
      </c>
      <c r="G25" s="7">
        <f>IF(F25="", (E25*0.49-320-100), (F25*0.49-320-100))</f>
      </c>
    </row>
    <row r="26">
      <c r="A26" t="s" s="6">
        <v>40</v>
      </c>
      <c r="B26" s="6">
        <v>844</v>
      </c>
      <c r="C26" t="s" s="8">
        <v>16</v>
      </c>
      <c r="D26" s="9">
        <f>(B26*0.8-330-100)</f>
      </c>
      <c r="E26" s="7">
        <v>1029</v>
      </c>
      <c r="G26" s="7">
        <f>IF(F26="", (E26*0.49-320-100), (F26*0.49-320-100))</f>
      </c>
    </row>
    <row r="27">
      <c r="A27" t="s" s="6">
        <v>41</v>
      </c>
      <c r="B27" s="6">
        <v>844</v>
      </c>
      <c r="C27" t="s" s="8">
        <v>16</v>
      </c>
      <c r="D27" s="9">
        <f>(B27*0.8-330-100)</f>
      </c>
      <c r="E27" s="7">
        <v>1029</v>
      </c>
      <c r="G27" s="7">
        <f>IF(F27="", (E27*0.49-320-100), (F27*0.49-320-100))</f>
      </c>
    </row>
    <row r="28">
      <c r="A28" t="s" s="6">
        <v>42</v>
      </c>
      <c r="B28" s="6">
        <v>844</v>
      </c>
      <c r="C28" t="s" s="8">
        <v>16</v>
      </c>
      <c r="D28" s="9">
        <f>(B28*0.8-330-100)</f>
      </c>
      <c r="E28" s="7">
        <v>1029</v>
      </c>
      <c r="G28" s="7">
        <f>IF(F28="", (E28*0.49-320-100), (F28*0.49-320-100))</f>
      </c>
    </row>
    <row r="29">
      <c r="A29" t="s" s="6">
        <v>43</v>
      </c>
      <c r="B29" s="6">
        <v>844</v>
      </c>
      <c r="C29" t="s" s="8">
        <v>16</v>
      </c>
      <c r="D29" s="9">
        <f>(B29*0.8-330-100)</f>
      </c>
      <c r="E29" s="7">
        <v>1029</v>
      </c>
      <c r="G29" s="7">
        <f>IF(F29="", (E29*0.49-320-100), (F29*0.49-320-100))</f>
      </c>
    </row>
    <row r="30">
      <c r="A30" t="s" s="6">
        <v>44</v>
      </c>
      <c r="B30" s="6">
        <v>844</v>
      </c>
      <c r="C30" t="s" s="8">
        <v>16</v>
      </c>
      <c r="D30" s="9">
        <f>(B30*0.8-330-100)</f>
      </c>
      <c r="E30" s="7">
        <v>1029</v>
      </c>
      <c r="G30" s="7">
        <f>IF(F30="", (E30*0.49-320-100), (F30*0.49-320-100))</f>
      </c>
    </row>
    <row r="31">
      <c r="A31" t="s" s="6">
        <v>45</v>
      </c>
      <c r="B31" s="6">
        <v>844</v>
      </c>
      <c r="C31" t="s" s="8">
        <v>16</v>
      </c>
      <c r="D31" s="9">
        <f>(B31*0.8-330-100)</f>
      </c>
      <c r="E31" s="7">
        <v>1029</v>
      </c>
      <c r="G31" s="7">
        <f>IF(F31="", (E31*0.49-320-100), (F31*0.49-320-100))</f>
      </c>
    </row>
    <row r="32">
      <c r="A32" t="s" s="6">
        <v>46</v>
      </c>
      <c r="B32" s="6">
        <v>752</v>
      </c>
      <c r="C32" t="s" s="8">
        <v>16</v>
      </c>
      <c r="D32" s="9">
        <f>(B32*0.8-290-100)</f>
      </c>
      <c r="E32" s="7">
        <v>986</v>
      </c>
      <c r="G32" s="7">
        <f>IF(F32="", (E32*0.49-320-100), (F32*0.49-320-100))</f>
      </c>
    </row>
    <row r="33">
      <c r="A33" t="s" s="6">
        <v>47</v>
      </c>
      <c r="B33" s="6">
        <v>752</v>
      </c>
      <c r="C33" t="s" s="8">
        <v>16</v>
      </c>
      <c r="D33" s="9">
        <f>(B33*0.8-290-100)</f>
      </c>
      <c r="E33" s="7">
        <v>999</v>
      </c>
      <c r="G33" s="7">
        <f>IF(F33="", (E33*0.49-320-100), (F33*0.49-320-100))</f>
      </c>
    </row>
    <row r="34">
      <c r="A34" t="s" s="6">
        <v>48</v>
      </c>
      <c r="B34" s="6">
        <v>752</v>
      </c>
      <c r="C34" t="s" s="8">
        <v>16</v>
      </c>
      <c r="D34" s="9">
        <f>(B34*0.8-290-100)</f>
      </c>
      <c r="E34" s="7">
        <v>986</v>
      </c>
      <c r="G34" s="7">
        <f>IF(F34="", (E34*0.49-320-100), (F34*0.49-320-100))</f>
      </c>
    </row>
    <row r="35">
      <c r="A35" t="s" s="6">
        <v>49</v>
      </c>
      <c r="B35" s="6">
        <v>752</v>
      </c>
      <c r="C35" t="s" s="8">
        <v>16</v>
      </c>
      <c r="D35" s="9">
        <f>(B35*0.8-290-100)</f>
      </c>
      <c r="E35" s="7">
        <v>999</v>
      </c>
      <c r="G35" s="7">
        <f>IF(F35="", (E35*0.49-320-100), (F35*0.49-320-100))</f>
      </c>
    </row>
    <row r="36">
      <c r="A36" t="s" s="6">
        <v>50</v>
      </c>
      <c r="B36" s="6">
        <v>752</v>
      </c>
      <c r="C36" t="s" s="8">
        <v>16</v>
      </c>
      <c r="D36" s="9">
        <f>(B36*0.8-290-100)</f>
      </c>
      <c r="E36" s="7">
        <v>986</v>
      </c>
      <c r="G36" s="7">
        <f>IF(F36="", (E36*0.49-320-100), (F36*0.49-320-100))</f>
      </c>
    </row>
    <row r="37">
      <c r="A37" t="s" s="6">
        <v>51</v>
      </c>
      <c r="B37" s="6">
        <v>752</v>
      </c>
      <c r="C37" t="s" s="8">
        <v>16</v>
      </c>
      <c r="D37" s="9">
        <f>(B37*0.8-290-100)</f>
      </c>
      <c r="E37" s="7">
        <v>986</v>
      </c>
      <c r="G37" s="7">
        <f>IF(F37="", (E37*0.49-320-100), (F37*0.49-320-100))</f>
      </c>
    </row>
    <row r="38">
      <c r="A38" t="s" s="6">
        <v>52</v>
      </c>
      <c r="B38" s="6">
        <v>752</v>
      </c>
      <c r="C38" t="s" s="8">
        <v>16</v>
      </c>
      <c r="D38" s="9">
        <f>(B38*0.8-290-100)</f>
      </c>
      <c r="E38" s="7">
        <v>986</v>
      </c>
      <c r="G38" s="7">
        <f>IF(F38="", (E38*0.49-320-100), (F38*0.49-320-100))</f>
      </c>
    </row>
    <row r="39">
      <c r="A39" t="s" s="6">
        <v>53</v>
      </c>
      <c r="B39" s="6">
        <v>752</v>
      </c>
      <c r="C39" t="s" s="8">
        <v>16</v>
      </c>
      <c r="D39" s="9">
        <f>(B39*0.8-290-100)</f>
      </c>
      <c r="E39" s="7">
        <v>986</v>
      </c>
      <c r="G39" s="7">
        <f>IF(F39="", (E39*0.49-320-100), (F39*0.49-320-100))</f>
      </c>
    </row>
    <row r="40">
      <c r="A40" t="s" s="6">
        <v>54</v>
      </c>
      <c r="B40" t="s" s="6">
        <v>16</v>
      </c>
      <c r="C40" t="s" s="8">
        <v>16</v>
      </c>
      <c r="D40" s="9">
        <f>(B40*0.8-290-100)</f>
      </c>
      <c r="E40" s="7">
        <v>999</v>
      </c>
      <c r="G40" s="7">
        <f>IF(F40="", (E40*0.49-320-100), (F40*0.49-320-100))</f>
      </c>
    </row>
    <row r="41">
      <c r="A41" t="s" s="6">
        <v>55</v>
      </c>
      <c r="B41" s="6">
        <v>752</v>
      </c>
      <c r="C41" t="s" s="8">
        <v>16</v>
      </c>
      <c r="D41" s="9">
        <f>(B41*0.8-290-100)</f>
      </c>
      <c r="E41" s="7">
        <v>986</v>
      </c>
      <c r="G41" s="7">
        <f>IF(F41="", (E41*0.49-320-100), (F41*0.49-320-100))</f>
      </c>
    </row>
    <row r="42">
      <c r="A42" t="s" s="6">
        <v>56</v>
      </c>
      <c r="B42" s="6">
        <v>752</v>
      </c>
      <c r="C42" t="s" s="8">
        <v>16</v>
      </c>
      <c r="D42" s="9">
        <f>(B42*0.8-290-100)</f>
      </c>
      <c r="E42" s="7">
        <v>986</v>
      </c>
      <c r="G42" s="7">
        <f>IF(F42="", (E42*0.49-320-100), (F42*0.49-320-100))</f>
      </c>
    </row>
    <row r="43">
      <c r="A43" t="s" s="6">
        <v>57</v>
      </c>
      <c r="B43" s="6">
        <v>752</v>
      </c>
      <c r="C43" t="s" s="8">
        <v>16</v>
      </c>
      <c r="D43" s="9">
        <f>(B43*0.8-290-100)</f>
      </c>
      <c r="E43" s="7">
        <v>986</v>
      </c>
      <c r="G43" s="7">
        <f>IF(F43="", (E43*0.49-320-100), (F43*0.49-320-100))</f>
      </c>
    </row>
    <row r="44">
      <c r="A44" t="s" s="6">
        <v>58</v>
      </c>
      <c r="B44" s="6">
        <v>744</v>
      </c>
      <c r="C44" t="s" s="8">
        <v>16</v>
      </c>
      <c r="D44" s="9">
        <f>(B44*0.8-290-100)</f>
      </c>
      <c r="E44" s="7">
        <v>986</v>
      </c>
      <c r="G44" s="7">
        <f>IF(F44="", (E44*0.49-320-100), (F44*0.49-320-100))</f>
      </c>
    </row>
    <row r="45">
      <c r="A45" t="s" s="6">
        <v>59</v>
      </c>
      <c r="B45" s="6">
        <v>744</v>
      </c>
      <c r="C45" t="s" s="8">
        <v>16</v>
      </c>
      <c r="D45" s="9">
        <f>(B45*0.8-290-100)</f>
      </c>
      <c r="E45" s="7">
        <v>986</v>
      </c>
      <c r="G45" s="7">
        <f>IF(F45="", (E45*0.49-320-100), (F45*0.49-320-100))</f>
      </c>
    </row>
    <row r="46">
      <c r="A46" t="s" s="6">
        <v>60</v>
      </c>
      <c r="B46" s="6">
        <v>744</v>
      </c>
      <c r="C46" t="s" s="8">
        <v>16</v>
      </c>
      <c r="D46" s="9">
        <f>(B46*0.8-290-100)</f>
      </c>
      <c r="E46" s="7">
        <v>986</v>
      </c>
      <c r="G46" s="7">
        <f>IF(F46="", (E46*0.49-320-100), (F46*0.49-320-100))</f>
      </c>
    </row>
    <row r="47">
      <c r="A47" t="s" s="6">
        <v>61</v>
      </c>
      <c r="B47" s="6">
        <v>744</v>
      </c>
      <c r="C47" t="s" s="8">
        <v>16</v>
      </c>
      <c r="D47" s="9">
        <f>(B47*0.8-290-100)</f>
      </c>
      <c r="E47" s="7">
        <v>986</v>
      </c>
      <c r="G47" s="7">
        <f>IF(F47="", (E47*0.49-320-100), (F47*0.49-320-100))</f>
      </c>
    </row>
    <row r="48">
      <c r="A48" t="s" s="6">
        <v>62</v>
      </c>
      <c r="B48" s="6">
        <v>744</v>
      </c>
      <c r="C48" t="s" s="8">
        <v>16</v>
      </c>
      <c r="D48" s="9">
        <f>(B48*0.8-290-100)</f>
      </c>
      <c r="E48" s="7">
        <v>986</v>
      </c>
      <c r="G48" s="7">
        <f>IF(F48="", (E48*0.49-320-100), (F48*0.49-320-100))</f>
      </c>
    </row>
    <row r="49">
      <c r="A49" t="s" s="6">
        <v>63</v>
      </c>
      <c r="B49" s="6">
        <v>744</v>
      </c>
      <c r="C49" t="s" s="8">
        <v>16</v>
      </c>
      <c r="D49" s="9">
        <f>(B49*0.8-290-100)</f>
      </c>
      <c r="E49" s="7">
        <v>986</v>
      </c>
      <c r="G49" s="7">
        <f>IF(F49="", (E49*0.49-320-100), (F49*0.49-320-100))</f>
      </c>
    </row>
    <row r="50">
      <c r="A50" t="s" s="6">
        <v>64</v>
      </c>
      <c r="B50" s="6">
        <v>794</v>
      </c>
      <c r="C50" t="s" s="8">
        <v>16</v>
      </c>
      <c r="D50" s="9">
        <f>(B50*0.8-300-100)</f>
      </c>
      <c r="E50" s="7">
        <v>729</v>
      </c>
      <c r="G50" s="7">
        <f>IF(F50="", (E50*0.49-320-100), (F50*0.49-320-100))</f>
      </c>
    </row>
    <row r="51">
      <c r="A51" t="s" s="6">
        <v>65</v>
      </c>
      <c r="B51" s="6">
        <v>794</v>
      </c>
      <c r="C51" t="s" s="8">
        <v>16</v>
      </c>
      <c r="D51" s="9">
        <f>(B51*0.8-300-100)</f>
      </c>
      <c r="E51" s="7">
        <v>729</v>
      </c>
      <c r="G51" s="7">
        <f>IF(F51="", (E51*0.49-320-100), (F51*0.49-320-100))</f>
      </c>
    </row>
    <row r="52">
      <c r="A52" t="s" s="6">
        <v>66</v>
      </c>
      <c r="B52" s="6">
        <v>794</v>
      </c>
      <c r="C52" t="s" s="8">
        <v>16</v>
      </c>
      <c r="D52" s="9">
        <f>(B52*0.8-300-100)</f>
      </c>
      <c r="E52" s="7">
        <v>729</v>
      </c>
      <c r="G52" s="7">
        <f>IF(F52="", (E52*0.49-320-100), (F52*0.49-320-100))</f>
      </c>
    </row>
    <row r="53">
      <c r="A53" t="s" s="6">
        <v>67</v>
      </c>
      <c r="B53" s="6">
        <v>794</v>
      </c>
      <c r="C53" t="s" s="8">
        <v>16</v>
      </c>
      <c r="D53" s="9">
        <f>(B53*0.8-300-100)</f>
      </c>
      <c r="E53" s="7">
        <v>729</v>
      </c>
      <c r="G53" s="7">
        <f>IF(F53="", (E53*0.49-320-100), (F53*0.49-320-100))</f>
      </c>
    </row>
    <row r="54">
      <c r="A54" t="s" s="6">
        <v>68</v>
      </c>
      <c r="B54" s="6">
        <v>794</v>
      </c>
      <c r="C54" t="s" s="8">
        <v>16</v>
      </c>
      <c r="D54" s="9">
        <f>(B54*0.8-300-100)</f>
      </c>
      <c r="E54" s="7">
        <v>729</v>
      </c>
      <c r="G54" s="7">
        <f>IF(F54="", (E54*0.49-320-100), (F54*0.49-320-100))</f>
      </c>
    </row>
    <row r="55">
      <c r="A55" t="s" s="6">
        <v>69</v>
      </c>
      <c r="B55" s="6">
        <v>794</v>
      </c>
      <c r="C55" t="s" s="8">
        <v>16</v>
      </c>
      <c r="D55" s="9">
        <f>(B55*0.8-300-100)</f>
      </c>
      <c r="E55" s="7">
        <v>729</v>
      </c>
      <c r="G55" s="7">
        <f>IF(F55="", (E55*0.49-320-100), (F55*0.49-320-100))</f>
      </c>
    </row>
    <row r="56">
      <c r="A56" t="s" s="6">
        <v>70</v>
      </c>
      <c r="B56" s="6">
        <v>794</v>
      </c>
      <c r="C56" t="s" s="8">
        <v>16</v>
      </c>
      <c r="D56" s="9">
        <f>(B56*0.8-300-100)</f>
      </c>
      <c r="E56" s="7">
        <v>729</v>
      </c>
      <c r="G56" s="7">
        <f>IF(F56="", (E56*0.49-320-100), (F56*0.49-320-100))</f>
      </c>
    </row>
    <row r="57">
      <c r="A57" t="s" s="6">
        <v>71</v>
      </c>
      <c r="B57" s="6">
        <v>794</v>
      </c>
      <c r="C57" t="s" s="8">
        <v>16</v>
      </c>
      <c r="D57" s="9">
        <f>(B57*0.8-300-100)</f>
      </c>
      <c r="E57" s="7">
        <v>729</v>
      </c>
      <c r="G57" s="7">
        <f>IF(F57="", (E57*0.49-320-100), (F57*0.49-320-100))</f>
      </c>
    </row>
    <row r="58">
      <c r="A58" t="s" s="6">
        <v>72</v>
      </c>
      <c r="B58" s="6">
        <v>794</v>
      </c>
      <c r="C58" t="s" s="8">
        <v>16</v>
      </c>
      <c r="D58" s="9">
        <f>(B58*0.8-300-100)</f>
      </c>
      <c r="E58" s="7">
        <v>729</v>
      </c>
      <c r="G58" s="7">
        <f>IF(F58="", (E58*0.49-320-100), (F58*0.49-320-100))</f>
      </c>
    </row>
    <row r="59">
      <c r="A59" t="s" s="6">
        <v>73</v>
      </c>
      <c r="B59" s="6">
        <v>794</v>
      </c>
      <c r="C59" t="s" s="8">
        <v>16</v>
      </c>
      <c r="D59" s="9">
        <f>(B59*0.8-300-100)</f>
      </c>
      <c r="E59" s="7">
        <v>729</v>
      </c>
      <c r="G59" s="7">
        <f>IF(F59="", (E59*0.49-320-100), (F59*0.49-320-100))</f>
      </c>
    </row>
    <row r="60">
      <c r="A60" t="s" s="6">
        <v>74</v>
      </c>
      <c r="B60" s="6">
        <v>794</v>
      </c>
      <c r="C60" t="s" s="8">
        <v>16</v>
      </c>
      <c r="D60" s="9">
        <f>(B60*0.8-300-100)</f>
      </c>
      <c r="E60" s="7">
        <v>729</v>
      </c>
      <c r="G60" s="7">
        <f>IF(F60="", (E60*0.49-320-100), (F60*0.49-320-100))</f>
      </c>
    </row>
    <row r="61">
      <c r="A61" t="s" s="6">
        <v>75</v>
      </c>
      <c r="B61" s="6">
        <v>794</v>
      </c>
      <c r="C61" t="s" s="8">
        <v>16</v>
      </c>
      <c r="D61" s="9">
        <f>(B61*0.8-300-100)</f>
      </c>
      <c r="E61" s="7">
        <v>729</v>
      </c>
      <c r="G61" s="7">
        <f>IF(F61="", (E61*0.49-320-100), (F61*0.49-320-100))</f>
      </c>
    </row>
    <row r="62">
      <c r="A62" t="s" s="6">
        <v>76</v>
      </c>
      <c r="B62" s="6">
        <v>794</v>
      </c>
      <c r="C62" t="s" s="8">
        <v>16</v>
      </c>
      <c r="D62" s="9">
        <f>(B62*0.8-300-100)</f>
      </c>
      <c r="E62" s="7">
        <v>729</v>
      </c>
      <c r="G62" s="7">
        <f>IF(F62="", (E62*0.49-320-100), (F62*0.49-320-100))</f>
      </c>
    </row>
    <row r="63">
      <c r="A63" t="s" s="6">
        <v>77</v>
      </c>
      <c r="B63" s="6">
        <v>794</v>
      </c>
      <c r="C63" t="s" s="8">
        <v>16</v>
      </c>
      <c r="D63" s="9">
        <f>(B63*0.8-300-100)</f>
      </c>
      <c r="E63" s="7">
        <v>752</v>
      </c>
      <c r="G63" s="7">
        <f>IF(F63="", (E63*0.49-320-100), (F63*0.49-320-100))</f>
      </c>
    </row>
    <row r="64">
      <c r="A64" t="s" s="6">
        <v>78</v>
      </c>
      <c r="B64" s="6">
        <v>794</v>
      </c>
      <c r="C64" t="s" s="8">
        <v>16</v>
      </c>
      <c r="D64" s="9">
        <f>(B64*0.8-300-100)</f>
      </c>
      <c r="E64" s="7">
        <v>752</v>
      </c>
      <c r="G64" s="7">
        <f>IF(F64="", (E64*0.49-320-100), (F64*0.49-320-100))</f>
      </c>
    </row>
    <row r="65">
      <c r="A65" t="s" s="6">
        <v>79</v>
      </c>
      <c r="B65" s="6">
        <v>794</v>
      </c>
      <c r="C65" t="s" s="8">
        <v>16</v>
      </c>
      <c r="D65" s="9">
        <f>(B65*0.8-300-100)</f>
      </c>
      <c r="E65" s="7">
        <v>746</v>
      </c>
      <c r="G65" s="7">
        <f>IF(F65="", (E65*0.49-320-100), (F65*0.49-320-100))</f>
      </c>
    </row>
    <row r="66">
      <c r="A66" t="s" s="6">
        <v>80</v>
      </c>
      <c r="B66" s="6">
        <v>794</v>
      </c>
      <c r="C66" t="s" s="8">
        <v>16</v>
      </c>
      <c r="D66" s="9">
        <f>(B66*0.8-300-100)</f>
      </c>
      <c r="E66" s="7">
        <v>729</v>
      </c>
      <c r="G66" s="7">
        <f>IF(F66="", (E66*0.49-320-100), (F66*0.49-320-100))</f>
      </c>
    </row>
    <row r="67">
      <c r="A67" t="s" s="6">
        <v>81</v>
      </c>
      <c r="B67" s="6">
        <v>794</v>
      </c>
      <c r="C67" t="s" s="8">
        <v>16</v>
      </c>
      <c r="D67" s="9">
        <f>(B67*0.8-300-100)</f>
      </c>
      <c r="E67" s="7">
        <v>729</v>
      </c>
      <c r="G67" s="7">
        <f>IF(F67="", (E67*0.49-320-100), (F67*0.49-320-100))</f>
      </c>
    </row>
    <row r="68">
      <c r="A68" t="s" s="6">
        <v>82</v>
      </c>
      <c r="B68" s="6">
        <v>794</v>
      </c>
      <c r="C68" t="s" s="8">
        <v>16</v>
      </c>
      <c r="D68" s="9">
        <f>(B68*0.8-300-100)</f>
      </c>
      <c r="E68" s="7">
        <v>729</v>
      </c>
      <c r="G68" s="7">
        <f>IF(F68="", (E68*0.49-320-100), (F68*0.49-320-100))</f>
      </c>
    </row>
    <row r="69">
      <c r="A69" t="s" s="6">
        <v>83</v>
      </c>
      <c r="B69" s="6">
        <v>794</v>
      </c>
      <c r="C69" t="s" s="8">
        <v>16</v>
      </c>
      <c r="D69" s="9">
        <f>(B69*0.8-300-100)</f>
      </c>
      <c r="E69" s="7">
        <v>729</v>
      </c>
      <c r="G69" s="7">
        <f>IF(F69="", (E69*0.49-320-100), (F69*0.49-320-100))</f>
      </c>
    </row>
    <row r="70">
      <c r="A70" t="s" s="6">
        <v>84</v>
      </c>
      <c r="B70" s="6">
        <v>794</v>
      </c>
      <c r="C70" t="s" s="8">
        <v>16</v>
      </c>
      <c r="D70" s="9">
        <f>(B70*0.8-300-100)</f>
      </c>
      <c r="E70" s="7">
        <v>729</v>
      </c>
      <c r="G70" s="7">
        <f>IF(F70="", (E70*0.49-320-100), (F70*0.49-320-100))</f>
      </c>
    </row>
    <row r="71">
      <c r="A71" t="s" s="6">
        <v>85</v>
      </c>
      <c r="B71" s="6">
        <v>794</v>
      </c>
      <c r="C71" t="s" s="8">
        <v>16</v>
      </c>
      <c r="D71" s="9">
        <f>(B71*0.8-300-100)</f>
      </c>
      <c r="E71" s="7">
        <v>768</v>
      </c>
      <c r="G71" s="7">
        <f>IF(F71="", (E71*0.49-320-100), (F71*0.49-320-100))</f>
      </c>
    </row>
    <row r="72">
      <c r="A72" t="s" s="6">
        <v>86</v>
      </c>
      <c r="B72" s="6">
        <v>794</v>
      </c>
      <c r="C72" t="s" s="8">
        <v>16</v>
      </c>
      <c r="D72" s="9">
        <f>(B72*0.8-300-100)</f>
      </c>
      <c r="E72" s="7">
        <v>729</v>
      </c>
      <c r="G72" s="7">
        <f>IF(F72="", (E72*0.49-320-100), (F72*0.49-320-100))</f>
      </c>
    </row>
    <row r="73">
      <c r="A73" t="s" s="6">
        <v>87</v>
      </c>
      <c r="B73" s="6">
        <v>794</v>
      </c>
      <c r="C73" t="s" s="8">
        <v>16</v>
      </c>
      <c r="D73" s="9">
        <f>(B73*0.8-300-100)</f>
      </c>
      <c r="E73" s="7">
        <v>746</v>
      </c>
      <c r="G73" s="7">
        <f>IF(F73="", (E73*0.49-320-100), (F73*0.49-320-100))</f>
      </c>
    </row>
    <row r="74">
      <c r="A74" t="s" s="6">
        <v>88</v>
      </c>
      <c r="B74" s="6">
        <v>703</v>
      </c>
      <c r="C74" t="s" s="8">
        <v>16</v>
      </c>
      <c r="D74" s="9">
        <f>(B74*0.8-280-100)</f>
      </c>
      <c r="E74" s="7">
        <v>943</v>
      </c>
      <c r="G74" s="7">
        <f>IF(F74="", (E74*0.49-320-100), (F74*0.49-320-100))</f>
      </c>
    </row>
    <row r="75">
      <c r="A75" t="s" s="6">
        <v>89</v>
      </c>
      <c r="B75" s="6">
        <v>703</v>
      </c>
      <c r="C75" t="s" s="8">
        <v>16</v>
      </c>
      <c r="D75" s="9">
        <f>(B75*0.8-280-100)</f>
      </c>
      <c r="E75" s="7">
        <v>943</v>
      </c>
      <c r="G75" s="7">
        <f>IF(F75="", (E75*0.49-320-100), (F75*0.49-320-100))</f>
      </c>
    </row>
    <row r="76">
      <c r="A76" t="s" s="6">
        <v>90</v>
      </c>
      <c r="B76" s="6">
        <v>716</v>
      </c>
      <c r="C76" t="s" s="8">
        <v>16</v>
      </c>
      <c r="D76" s="9">
        <f>(B76*0.8-280-100)</f>
      </c>
      <c r="E76" s="7">
        <v>943</v>
      </c>
      <c r="G76" s="7">
        <f>IF(F76="", (E76*0.49-320-100), (F76*0.49-320-100))</f>
      </c>
    </row>
    <row r="77">
      <c r="A77" t="s" s="6">
        <v>91</v>
      </c>
      <c r="B77" s="6">
        <v>716</v>
      </c>
      <c r="C77" t="s" s="8">
        <v>16</v>
      </c>
      <c r="D77" s="9">
        <f>(B77*0.8-280-100)</f>
      </c>
      <c r="E77" s="7">
        <v>943</v>
      </c>
      <c r="G77" s="7">
        <f>IF(F77="", (E77*0.49-320-100), (F77*0.49-320-100))</f>
      </c>
    </row>
    <row r="78">
      <c r="A78" t="s" s="6">
        <v>92</v>
      </c>
      <c r="B78" s="6">
        <v>703</v>
      </c>
      <c r="C78" t="s" s="8">
        <v>16</v>
      </c>
      <c r="D78" s="9">
        <f>(B78*0.8-280-100)</f>
      </c>
      <c r="E78" s="7">
        <v>943</v>
      </c>
      <c r="G78" s="7">
        <f>IF(F78="", (E78*0.49-320-100), (F78*0.49-320-100))</f>
      </c>
    </row>
    <row r="79">
      <c r="A79" t="s" s="6">
        <v>93</v>
      </c>
      <c r="B79" s="6">
        <v>716</v>
      </c>
      <c r="C79" t="s" s="8">
        <v>16</v>
      </c>
      <c r="D79" s="9">
        <f>(B79*0.8-280-100)</f>
      </c>
      <c r="E79" s="7">
        <v>943</v>
      </c>
      <c r="G79" s="7">
        <f>IF(F79="", (E79*0.49-320-100), (F79*0.49-320-100))</f>
      </c>
    </row>
    <row r="80">
      <c r="A80" t="s" s="6">
        <v>94</v>
      </c>
      <c r="B80" s="6">
        <v>610</v>
      </c>
      <c r="C80" t="s" s="8">
        <v>16</v>
      </c>
      <c r="D80" s="9">
        <f>(B80*0.8-280-100)</f>
      </c>
      <c r="E80" s="7">
        <v>943</v>
      </c>
      <c r="G80" s="7">
        <f>IF(F80="", (E80*0.49-320-100), (F80*0.49-320-100))</f>
      </c>
    </row>
    <row r="81">
      <c r="A81" t="s" s="6">
        <v>95</v>
      </c>
      <c r="B81" s="6">
        <v>610</v>
      </c>
      <c r="C81" t="s" s="8">
        <v>16</v>
      </c>
      <c r="D81" s="9">
        <f>(B81*0.8-280-100)</f>
      </c>
      <c r="E81" s="7">
        <v>943</v>
      </c>
      <c r="G81" s="7">
        <f>IF(F81="", (E81*0.49-320-100), (F81*0.49-320-100))</f>
      </c>
    </row>
    <row r="82">
      <c r="A82" t="s" s="6">
        <v>96</v>
      </c>
      <c r="B82" s="6">
        <v>610</v>
      </c>
      <c r="C82" t="s" s="8">
        <v>16</v>
      </c>
      <c r="D82" s="9">
        <f>(B82*0.8-280-100)</f>
      </c>
      <c r="E82" s="7">
        <v>910</v>
      </c>
      <c r="G82" s="7">
        <f>IF(F82="", (E82*0.49-320-100), (F82*0.49-320-100))</f>
      </c>
    </row>
    <row r="83">
      <c r="A83" t="s" s="6">
        <v>97</v>
      </c>
      <c r="B83" s="6">
        <v>636</v>
      </c>
      <c r="C83" t="s" s="8">
        <v>16</v>
      </c>
      <c r="D83" s="9">
        <f>(B83*0.8-280-100)</f>
      </c>
      <c r="E83" s="7">
        <v>952</v>
      </c>
      <c r="G83" s="7">
        <f>IF(F83="", (E83*0.49-320-100), (F83*0.49-320-100))</f>
      </c>
    </row>
    <row r="84">
      <c r="A84" t="s" s="6">
        <v>98</v>
      </c>
      <c r="B84" s="6">
        <v>636</v>
      </c>
      <c r="C84" t="s" s="8">
        <v>16</v>
      </c>
      <c r="D84" s="9">
        <f>(B84*0.8-280-100)</f>
      </c>
      <c r="E84" s="7">
        <v>910</v>
      </c>
      <c r="G84" s="7">
        <f>IF(F84="", (E84*0.49-320-100), (F84*0.49-320-100))</f>
      </c>
    </row>
    <row r="85">
      <c r="A85" t="s" s="6">
        <v>99</v>
      </c>
      <c r="B85" s="6">
        <v>636</v>
      </c>
      <c r="C85" t="s" s="8">
        <v>16</v>
      </c>
      <c r="D85" s="9">
        <f>(B85*0.8-280-100)</f>
      </c>
      <c r="E85" s="7">
        <v>910</v>
      </c>
      <c r="G85" s="7">
        <f>IF(F85="", (E85*0.49-320-100), (F85*0.49-320-100))</f>
      </c>
    </row>
    <row r="86">
      <c r="A86" t="s" s="6">
        <v>100</v>
      </c>
      <c r="B86" s="6">
        <v>610</v>
      </c>
      <c r="C86" t="s" s="8">
        <v>16</v>
      </c>
      <c r="D86" s="9">
        <f>(B86*0.8-280-100)</f>
      </c>
      <c r="E86" s="7">
        <v>968</v>
      </c>
      <c r="G86" s="7">
        <f>IF(F86="", (E86*0.49-320-100), (F86*0.49-320-100))</f>
      </c>
    </row>
    <row r="87">
      <c r="A87" t="s" s="6">
        <v>101</v>
      </c>
      <c r="B87" s="6">
        <v>610</v>
      </c>
      <c r="C87" t="s" s="8">
        <v>16</v>
      </c>
      <c r="D87" s="9">
        <f>(B87*0.8-280-100)</f>
      </c>
      <c r="E87" s="7">
        <v>943</v>
      </c>
      <c r="G87" s="7">
        <f>IF(F87="", (E87*0.49-320-100), (F87*0.49-320-100))</f>
      </c>
    </row>
    <row r="88">
      <c r="A88" t="s" s="6">
        <v>102</v>
      </c>
      <c r="B88" s="6">
        <v>610</v>
      </c>
      <c r="C88" t="s" s="8">
        <v>16</v>
      </c>
      <c r="D88" s="9">
        <f>(B88*0.8-280-100)</f>
      </c>
      <c r="E88" s="7">
        <v>955</v>
      </c>
      <c r="G88" s="7">
        <f>IF(F88="", (E88*0.49-320-100), (F88*0.49-320-100))</f>
      </c>
    </row>
    <row r="89">
      <c r="A89" t="s" s="6">
        <v>103</v>
      </c>
      <c r="B89" t="s" s="6">
        <v>16</v>
      </c>
      <c r="C89" t="s" s="8">
        <v>16</v>
      </c>
      <c r="D89" s="9">
        <f>(B89*0.8-280-100)</f>
      </c>
      <c r="E89" s="7">
        <v>1099</v>
      </c>
      <c r="G89" s="7">
        <f>IF(F89="", (E89*0.49-320-100), (F89*0.49-320-100))</f>
      </c>
    </row>
    <row r="90">
      <c r="A90" t="s" s="6">
        <v>104</v>
      </c>
      <c r="B90" t="s" s="6">
        <v>16</v>
      </c>
      <c r="C90" t="s" s="8">
        <v>16</v>
      </c>
      <c r="D90" s="9">
        <f>(B90*0.8-280-100)</f>
      </c>
      <c r="E90" s="7">
        <v>910</v>
      </c>
      <c r="G90" s="7">
        <f>IF(F90="", (E90*0.49-320-100), (F90*0.49-320-100))</f>
      </c>
    </row>
    <row r="91">
      <c r="A91" t="s" s="6">
        <v>105</v>
      </c>
      <c r="B91" t="s" s="6">
        <v>16</v>
      </c>
      <c r="C91" t="s" s="8">
        <v>16</v>
      </c>
      <c r="D91" s="9">
        <f>(B91*0.8-280-100)</f>
      </c>
      <c r="E91" s="7">
        <v>910</v>
      </c>
      <c r="G91" s="7">
        <f>IF(F91="", (E91*0.49-320-100), (F91*0.49-320-100))</f>
      </c>
    </row>
    <row r="92">
      <c r="A92" t="s" s="6">
        <v>106</v>
      </c>
      <c r="B92" s="6">
        <v>731</v>
      </c>
      <c r="C92" t="s" s="8">
        <v>16</v>
      </c>
      <c r="D92" s="9">
        <f>(B92*0.8-260-100)</f>
      </c>
      <c r="E92" s="7">
        <v>927</v>
      </c>
      <c r="G92" s="7">
        <f>IF(F92="", (E92*0.49-320-100), (F92*0.49-320-100))</f>
      </c>
    </row>
    <row r="93">
      <c r="A93" t="s" s="6">
        <v>107</v>
      </c>
      <c r="B93" s="6">
        <v>731</v>
      </c>
      <c r="C93" t="s" s="8">
        <v>16</v>
      </c>
      <c r="D93" s="9">
        <f>(B93*0.8-260-100)</f>
      </c>
      <c r="E93" s="7">
        <v>927</v>
      </c>
      <c r="G93" s="7">
        <f>IF(F93="", (E93*0.49-320-100), (F93*0.49-320-100))</f>
      </c>
    </row>
    <row r="94">
      <c r="A94" t="s" s="6">
        <v>108</v>
      </c>
      <c r="B94" s="6">
        <v>731</v>
      </c>
      <c r="C94" t="s" s="8">
        <v>16</v>
      </c>
      <c r="D94" s="9">
        <f>(B94*0.8-260-100)</f>
      </c>
      <c r="E94" s="7">
        <v>927</v>
      </c>
      <c r="G94" s="7">
        <f>IF(F94="", (E94*0.49-320-100), (F94*0.49-320-100))</f>
      </c>
    </row>
    <row r="95">
      <c r="A95" t="s" s="6">
        <v>109</v>
      </c>
      <c r="B95" s="6">
        <v>731</v>
      </c>
      <c r="C95" t="s" s="8">
        <v>16</v>
      </c>
      <c r="D95" s="9">
        <f>(B95*0.8-260-100)</f>
      </c>
      <c r="E95" s="7">
        <v>927</v>
      </c>
      <c r="G95" s="7">
        <f>IF(F95="", (E95*0.49-320-100), (F95*0.49-320-100))</f>
      </c>
    </row>
    <row r="96">
      <c r="A96" t="s" s="6">
        <v>110</v>
      </c>
      <c r="B96" s="6">
        <v>731</v>
      </c>
      <c r="C96" t="s" s="8">
        <v>16</v>
      </c>
      <c r="D96" s="9">
        <f>(B96*0.8-260-100)</f>
      </c>
      <c r="E96" s="7">
        <v>927</v>
      </c>
      <c r="G96" s="7">
        <f>IF(F96="", (E96*0.49-320-100), (F96*0.49-320-100))</f>
      </c>
    </row>
    <row r="97">
      <c r="A97" t="s" s="6">
        <v>111</v>
      </c>
      <c r="B97" s="6">
        <v>731</v>
      </c>
      <c r="C97" t="s" s="8">
        <v>16</v>
      </c>
      <c r="D97" s="9">
        <f>(B97*0.8-260-100)</f>
      </c>
      <c r="E97" s="7">
        <v>927</v>
      </c>
      <c r="G97" s="7">
        <f>IF(F97="", (E97*0.49-320-100), (F97*0.49-320-100))</f>
      </c>
    </row>
    <row r="98">
      <c r="A98" t="s" s="6">
        <v>112</v>
      </c>
      <c r="B98" s="6">
        <v>731</v>
      </c>
      <c r="C98" t="s" s="8">
        <v>16</v>
      </c>
      <c r="D98" s="9">
        <f>(B98*0.8-260-100)</f>
      </c>
      <c r="E98" s="7">
        <v>927</v>
      </c>
      <c r="G98" s="7">
        <f>IF(F98="", (E98*0.49-320-100), (F98*0.49-320-100))</f>
      </c>
    </row>
    <row r="99">
      <c r="A99" t="s" s="6">
        <v>113</v>
      </c>
      <c r="B99" s="6">
        <v>731</v>
      </c>
      <c r="C99" t="s" s="8">
        <v>16</v>
      </c>
      <c r="D99" s="9">
        <f>(B99*0.8-260-100)</f>
      </c>
      <c r="E99" s="7">
        <v>927</v>
      </c>
      <c r="G99" s="7">
        <f>IF(F99="", (E99*0.49-320-100), (F99*0.49-320-100))</f>
      </c>
    </row>
    <row r="100">
      <c r="A100" t="s" s="6">
        <v>114</v>
      </c>
      <c r="B100" s="6">
        <v>731</v>
      </c>
      <c r="C100" t="s" s="8">
        <v>16</v>
      </c>
      <c r="D100" s="9">
        <f>(B100*0.8-260-100)</f>
      </c>
      <c r="E100" s="7">
        <v>927</v>
      </c>
      <c r="G100" s="7">
        <f>IF(F100="", (E100*0.49-320-100), (F100*0.49-320-100))</f>
      </c>
    </row>
    <row r="101">
      <c r="A101" t="s" s="6">
        <v>115</v>
      </c>
      <c r="B101" s="6">
        <v>731</v>
      </c>
      <c r="C101" t="s" s="8">
        <v>16</v>
      </c>
      <c r="D101" s="9">
        <f>(B101*0.8-260-100)</f>
      </c>
      <c r="E101" s="7">
        <v>927</v>
      </c>
      <c r="G101" s="7">
        <f>IF(F101="", (E101*0.49-320-100), (F101*0.49-320-100))</f>
      </c>
    </row>
  </sheetData>
  <mergeCells count="1">
    <mergeCell ref="C1:D1"/>
  </mergeCells>
  <conditionalFormatting sqref="C1:C1048576">
    <cfRule type="cellIs" dxfId="1" priority="4" operator="equal">
      <formula>"P"</formula>
    </cfRule>
  </conditionalFormatting>
  <conditionalFormatting sqref="F1:F1048576">
    <cfRule type="notContainsBlanks" dxfId="0" priority="1">
      <formula>LEN(TRIM(F1))&gt;0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prog</dc:creator>
  <cp:lastModifiedBy>prog</cp:lastModifiedBy>
  <dcterms:created xsi:type="dcterms:W3CDTF">2015-06-05T18:19:34Z</dcterms:created>
  <dcterms:modified xsi:type="dcterms:W3CDTF">2025-07-05T07:10:43Z</dcterms:modified>
</cp:coreProperties>
</file>